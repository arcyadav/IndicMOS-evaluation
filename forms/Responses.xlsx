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1609e22aea2e819/Desktop/semester 4/cp/tts/tts-metric-evaluation/forms/"/>
    </mc:Choice>
  </mc:AlternateContent>
  <xr:revisionPtr revIDLastSave="11" documentId="11_D2C1BE6B7DD8C8550DB7E4FCD1AC2C4EAF7C7A7C" xr6:coauthVersionLast="47" xr6:coauthVersionMax="47" xr10:uidLastSave="{D3DAF175-3BA4-4AAB-8D14-CBAC9D888E8E}"/>
  <bookViews>
    <workbookView xWindow="-110" yWindow="-110" windowWidth="22620" windowHeight="13500" xr2:uid="{00000000-000D-0000-FFFF-FFFF00000000}"/>
  </bookViews>
  <sheets>
    <sheet name="Form Responses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1" i="1" l="1"/>
  <c r="Z41" i="1"/>
  <c r="AA41" i="1"/>
  <c r="AB41" i="1"/>
  <c r="AC41" i="1"/>
  <c r="X41" i="1"/>
  <c r="R41" i="1"/>
  <c r="S41" i="1"/>
  <c r="T41" i="1"/>
  <c r="U41" i="1"/>
  <c r="V41" i="1"/>
  <c r="Q41" i="1"/>
  <c r="K41" i="1"/>
  <c r="L41" i="1"/>
  <c r="M41" i="1"/>
  <c r="N41" i="1"/>
  <c r="O41" i="1"/>
  <c r="J41" i="1"/>
  <c r="D41" i="1"/>
  <c r="E41" i="1"/>
  <c r="F41" i="1"/>
  <c r="G41" i="1"/>
  <c r="H41" i="1"/>
  <c r="C41" i="1"/>
</calcChain>
</file>

<file path=xl/sharedStrings.xml><?xml version="1.0" encoding="utf-8"?>
<sst xmlns="http://schemas.openxmlformats.org/spreadsheetml/2006/main" count="134" uniqueCount="39">
  <si>
    <t>Timestamp</t>
  </si>
  <si>
    <t xml:space="preserve">  Which language section would you like to rate? (You can choose another one later or submit when done!)  </t>
  </si>
  <si>
    <t>Audio 1:
click here to listen</t>
  </si>
  <si>
    <t>Audio 2:
click here to listen</t>
  </si>
  <si>
    <t>Audio 3:
click here to listen</t>
  </si>
  <si>
    <t>Audio 4:
click here to listen</t>
  </si>
  <si>
    <t>Audio 5:
click here to listen</t>
  </si>
  <si>
    <t>Audio 6:
click here to listen</t>
  </si>
  <si>
    <t xml:space="preserve">  What would you like to do next?  </t>
  </si>
  <si>
    <t>Audio 1: 
click here to listen</t>
  </si>
  <si>
    <t>Audio 2: 
 click here to listen</t>
  </si>
  <si>
    <t>Audio 3: 
 click here to listen</t>
  </si>
  <si>
    <t xml:space="preserve">Audio 4: 
click here to listen
</t>
  </si>
  <si>
    <t>Audio 5: 
click here to listen</t>
  </si>
  <si>
    <t>Audio 6: 
click here to listen</t>
  </si>
  <si>
    <t xml:space="preserve">  What would you like to do next?   2</t>
  </si>
  <si>
    <t>Audio 1:
click here to listen 2</t>
  </si>
  <si>
    <t>Audio 2:
click here to listen 2</t>
  </si>
  <si>
    <t>Audio 3:
click here to listen 2</t>
  </si>
  <si>
    <t>Audio 4:
click here to listen 2</t>
  </si>
  <si>
    <t>Audio 5:
click here to listen 2</t>
  </si>
  <si>
    <t>Audio 6:
click here to listen 2</t>
  </si>
  <si>
    <t xml:space="preserve">  What would you like to do next?   3</t>
  </si>
  <si>
    <t>Audio 1:
click here to listen 3</t>
  </si>
  <si>
    <t>Audio 2:
click here to listen 3</t>
  </si>
  <si>
    <t>Audio 3:
click here to listen 3</t>
  </si>
  <si>
    <t>Audio 4:
click here to listen 3</t>
  </si>
  <si>
    <t>Audio 5:
click here to listen 3</t>
  </si>
  <si>
    <t>Audio 6:
click here to listen 3</t>
  </si>
  <si>
    <t xml:space="preserve">  What would you like to do next?   4</t>
  </si>
  <si>
    <t>Hindi</t>
  </si>
  <si>
    <t>Rate another language</t>
  </si>
  <si>
    <t>I am done! Submit my responses.</t>
  </si>
  <si>
    <t>English</t>
  </si>
  <si>
    <t>Kannada</t>
  </si>
  <si>
    <t>Rate another Language</t>
  </si>
  <si>
    <t>Telugu</t>
  </si>
  <si>
    <t>MOS</t>
  </si>
  <si>
    <t>Predicted 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</si>
</sst>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D6CFE0"/>
          <bgColor rgb="FFD6CFE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5" xr9:uid="{00000000-0011-0000-FFFF-FFFF00000000}">
      <tableStyleElement type="wholeTable" size="0" dxfId="30"/>
      <tableStyleElement type="headerRow" dxfId="34"/>
      <tableStyleElement type="totalRow" dxfId="31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D41" totalsRowCount="1">
  <tableColumns count="30">
    <tableColumn id="1" xr3:uid="{00000000-0010-0000-0000-000001000000}" name="Timestamp" totalsRowLabel="MOS" totalsRowDxfId="29"/>
    <tableColumn id="2" xr3:uid="{00000000-0010-0000-0000-000002000000}" name="  Which language section would you like to rate? (You can choose another one later or submit when done!)  " totalsRowDxfId="28"/>
    <tableColumn id="3" xr3:uid="{00000000-0010-0000-0000-000003000000}" name="Audio 1:_x000a_click here to listen" totalsRowFunction="average" totalsRowDxfId="27"/>
    <tableColumn id="4" xr3:uid="{00000000-0010-0000-0000-000004000000}" name="Audio 2:_x000a_click here to listen" totalsRowFunction="average" totalsRowDxfId="26"/>
    <tableColumn id="5" xr3:uid="{00000000-0010-0000-0000-000005000000}" name="Audio 3:_x000a_click here to listen" totalsRowFunction="average" totalsRowDxfId="25"/>
    <tableColumn id="6" xr3:uid="{00000000-0010-0000-0000-000006000000}" name="Audio 4:_x000a_click here to listen" totalsRowFunction="average" totalsRowDxfId="24"/>
    <tableColumn id="7" xr3:uid="{00000000-0010-0000-0000-000007000000}" name="Audio 5:_x000a_click here to listen" totalsRowFunction="average" totalsRowDxfId="23"/>
    <tableColumn id="8" xr3:uid="{00000000-0010-0000-0000-000008000000}" name="Audio 6:_x000a_click here to listen" totalsRowFunction="average" totalsRowDxfId="22"/>
    <tableColumn id="9" xr3:uid="{00000000-0010-0000-0000-000009000000}" name="  What would you like to do next?  " totalsRowDxfId="21"/>
    <tableColumn id="10" xr3:uid="{00000000-0010-0000-0000-00000A000000}" name="Audio 1: _x000a_click here to listen" totalsRowFunction="average" totalsRowDxfId="20"/>
    <tableColumn id="11" xr3:uid="{00000000-0010-0000-0000-00000B000000}" name="Audio 2: _x000a_ click here to listen" totalsRowFunction="average" totalsRowDxfId="19"/>
    <tableColumn id="12" xr3:uid="{00000000-0010-0000-0000-00000C000000}" name="Audio 3: _x000a_ click here to listen" totalsRowFunction="average" totalsRowDxfId="18"/>
    <tableColumn id="13" xr3:uid="{00000000-0010-0000-0000-00000D000000}" name="Audio 4: _x000a_click here to listen_x000a_" totalsRowFunction="average" totalsRowDxfId="17"/>
    <tableColumn id="14" xr3:uid="{00000000-0010-0000-0000-00000E000000}" name="Audio 5: _x000a_click here to listen" totalsRowFunction="average" totalsRowDxfId="16"/>
    <tableColumn id="15" xr3:uid="{00000000-0010-0000-0000-00000F000000}" name="Audio 6: _x000a_click here to listen" totalsRowFunction="average" totalsRowDxfId="15"/>
    <tableColumn id="16" xr3:uid="{00000000-0010-0000-0000-000010000000}" name="  What would you like to do next?   2" totalsRowDxfId="14"/>
    <tableColumn id="17" xr3:uid="{00000000-0010-0000-0000-000011000000}" name="Audio 1:_x000a_click here to listen 2" totalsRowFunction="average" totalsRowDxfId="13"/>
    <tableColumn id="18" xr3:uid="{00000000-0010-0000-0000-000012000000}" name="Audio 2:_x000a_click here to listen 2" totalsRowFunction="average" totalsRowDxfId="12"/>
    <tableColumn id="19" xr3:uid="{00000000-0010-0000-0000-000013000000}" name="Audio 3:_x000a_click here to listen 2" totalsRowFunction="average" totalsRowDxfId="11"/>
    <tableColumn id="20" xr3:uid="{00000000-0010-0000-0000-000014000000}" name="Audio 4:_x000a_click here to listen 2" totalsRowFunction="average" totalsRowDxfId="10"/>
    <tableColumn id="21" xr3:uid="{00000000-0010-0000-0000-000015000000}" name="Audio 5:_x000a_click here to listen 2" totalsRowFunction="average" totalsRowDxfId="9"/>
    <tableColumn id="22" xr3:uid="{00000000-0010-0000-0000-000016000000}" name="Audio 6:_x000a_click here to listen 2" totalsRowFunction="average" totalsRowDxfId="8"/>
    <tableColumn id="23" xr3:uid="{00000000-0010-0000-0000-000017000000}" name="  What would you like to do next?   3" totalsRowDxfId="7"/>
    <tableColumn id="24" xr3:uid="{00000000-0010-0000-0000-000018000000}" name="Audio 1:_x000a_click here to listen 3" totalsRowFunction="average" totalsRowDxfId="6"/>
    <tableColumn id="25" xr3:uid="{00000000-0010-0000-0000-000019000000}" name="Audio 2:_x000a_click here to listen 3" totalsRowFunction="average" totalsRowDxfId="5"/>
    <tableColumn id="26" xr3:uid="{00000000-0010-0000-0000-00001A000000}" name="Audio 3:_x000a_click here to listen 3" totalsRowFunction="average" totalsRowDxfId="4"/>
    <tableColumn id="27" xr3:uid="{00000000-0010-0000-0000-00001B000000}" name="Audio 4:_x000a_click here to listen 3" totalsRowFunction="average" totalsRowDxfId="3"/>
    <tableColumn id="28" xr3:uid="{00000000-0010-0000-0000-00001C000000}" name="Audio 5:_x000a_click here to listen 3" totalsRowFunction="average" totalsRowDxfId="2"/>
    <tableColumn id="29" xr3:uid="{00000000-0010-0000-0000-00001D000000}" name="Audio 6:_x000a_click here to listen 3" totalsRowFunction="average" totalsRowDxfId="1"/>
    <tableColumn id="30" xr3:uid="{00000000-0010-0000-0000-00001E000000}" name="  What would you like to do next?   4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2"/>
  <sheetViews>
    <sheetView tabSelected="1" workbookViewId="0">
      <pane ySplit="1" topLeftCell="A36" activePane="bottomLeft" state="frozen"/>
      <selection pane="bottomLeft" activeCell="E49" sqref="E49"/>
    </sheetView>
  </sheetViews>
  <sheetFormatPr defaultColWidth="12.6328125" defaultRowHeight="15.75" customHeight="1" x14ac:dyDescent="0.25"/>
  <cols>
    <col min="1" max="1" width="18.90625" customWidth="1"/>
    <col min="2" max="2" width="37.6328125" customWidth="1"/>
    <col min="3" max="8" width="18.90625" customWidth="1"/>
    <col min="9" max="9" width="29.7265625" customWidth="1"/>
    <col min="10" max="15" width="18.90625" customWidth="1"/>
    <col min="16" max="16" width="29.7265625" customWidth="1"/>
    <col min="17" max="22" width="18.90625" customWidth="1"/>
    <col min="23" max="23" width="29.7265625" customWidth="1"/>
    <col min="24" max="29" width="18.90625" customWidth="1"/>
    <col min="30" max="30" width="29.7265625" customWidth="1"/>
    <col min="31" max="36" width="18.90625" customWidth="1"/>
  </cols>
  <sheetData>
    <row r="1" spans="1:3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2.5" customHeight="1" x14ac:dyDescent="0.25">
      <c r="A2" s="2">
        <v>46205.641752615746</v>
      </c>
      <c r="B2" s="3" t="s">
        <v>30</v>
      </c>
      <c r="C2" s="3">
        <v>3</v>
      </c>
      <c r="D2" s="3">
        <v>4</v>
      </c>
      <c r="E2" s="3">
        <v>4</v>
      </c>
      <c r="F2" s="3">
        <v>3</v>
      </c>
      <c r="G2" s="3">
        <v>4</v>
      </c>
      <c r="H2" s="3">
        <v>3</v>
      </c>
      <c r="I2" s="3" t="s">
        <v>31</v>
      </c>
      <c r="J2" s="3">
        <v>5</v>
      </c>
      <c r="K2" s="3">
        <v>4</v>
      </c>
      <c r="L2" s="3">
        <v>3</v>
      </c>
      <c r="M2" s="3">
        <v>4</v>
      </c>
      <c r="N2" s="3">
        <v>4</v>
      </c>
      <c r="O2" s="3">
        <v>5</v>
      </c>
      <c r="P2" s="3" t="s">
        <v>32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2.5" customHeight="1" x14ac:dyDescent="0.25">
      <c r="A3" s="2">
        <v>46205.644903159722</v>
      </c>
      <c r="B3" s="3" t="s">
        <v>30</v>
      </c>
      <c r="C3" s="3">
        <v>4</v>
      </c>
      <c r="D3" s="3">
        <v>4</v>
      </c>
      <c r="E3" s="3">
        <v>4</v>
      </c>
      <c r="F3" s="3">
        <v>3</v>
      </c>
      <c r="G3" s="3">
        <v>5</v>
      </c>
      <c r="H3" s="3">
        <v>5</v>
      </c>
      <c r="I3" s="3" t="s">
        <v>31</v>
      </c>
      <c r="J3" s="3">
        <v>5</v>
      </c>
      <c r="K3" s="3">
        <v>4</v>
      </c>
      <c r="L3" s="3">
        <v>4</v>
      </c>
      <c r="M3" s="3">
        <v>5</v>
      </c>
      <c r="N3" s="3">
        <v>5</v>
      </c>
      <c r="O3" s="3">
        <v>5</v>
      </c>
      <c r="P3" s="3" t="s">
        <v>32</v>
      </c>
    </row>
    <row r="4" spans="1:30" ht="22.5" customHeight="1" x14ac:dyDescent="0.25">
      <c r="A4" s="2">
        <v>46205.655523113426</v>
      </c>
      <c r="B4" s="3" t="s">
        <v>33</v>
      </c>
      <c r="C4" s="3">
        <v>3</v>
      </c>
      <c r="D4" s="3">
        <v>4</v>
      </c>
      <c r="E4" s="3">
        <v>5</v>
      </c>
      <c r="F4" s="3">
        <v>4</v>
      </c>
      <c r="G4" s="3">
        <v>4</v>
      </c>
      <c r="H4" s="3">
        <v>4</v>
      </c>
      <c r="I4" s="3" t="s">
        <v>32</v>
      </c>
    </row>
    <row r="5" spans="1:30" ht="22.5" customHeight="1" x14ac:dyDescent="0.25">
      <c r="A5" s="2">
        <v>46205.666581041667</v>
      </c>
      <c r="B5" s="3" t="s">
        <v>34</v>
      </c>
      <c r="Q5" s="3">
        <v>2</v>
      </c>
      <c r="R5" s="3">
        <v>2</v>
      </c>
      <c r="S5" s="3">
        <v>2</v>
      </c>
      <c r="T5" s="3">
        <v>2</v>
      </c>
      <c r="U5" s="3">
        <v>3</v>
      </c>
      <c r="V5" s="3">
        <v>3</v>
      </c>
      <c r="W5" s="3" t="s">
        <v>32</v>
      </c>
    </row>
    <row r="6" spans="1:30" ht="22.5" customHeight="1" x14ac:dyDescent="0.25">
      <c r="A6" s="2">
        <v>46205.674923171297</v>
      </c>
      <c r="B6" s="3" t="s">
        <v>33</v>
      </c>
      <c r="C6" s="3">
        <v>3</v>
      </c>
      <c r="D6" s="3">
        <v>3</v>
      </c>
      <c r="E6" s="3">
        <v>3</v>
      </c>
      <c r="F6" s="3">
        <v>4</v>
      </c>
      <c r="G6" s="3">
        <v>4</v>
      </c>
      <c r="H6" s="3">
        <v>4</v>
      </c>
      <c r="I6" s="3" t="s">
        <v>32</v>
      </c>
    </row>
    <row r="7" spans="1:30" ht="22.5" customHeight="1" x14ac:dyDescent="0.25">
      <c r="A7" s="2">
        <v>46205.675582129625</v>
      </c>
      <c r="B7" s="3" t="s">
        <v>33</v>
      </c>
      <c r="C7" s="3">
        <v>4</v>
      </c>
      <c r="D7" s="3">
        <v>4</v>
      </c>
      <c r="E7" s="3">
        <v>3</v>
      </c>
      <c r="F7" s="3">
        <v>5</v>
      </c>
      <c r="G7" s="3">
        <v>3</v>
      </c>
      <c r="H7" s="3">
        <v>4</v>
      </c>
      <c r="I7" s="3" t="s">
        <v>32</v>
      </c>
      <c r="X7" s="3">
        <v>4</v>
      </c>
      <c r="Y7" s="3">
        <v>3</v>
      </c>
      <c r="Z7" s="3">
        <v>2</v>
      </c>
      <c r="AA7" s="3">
        <v>2</v>
      </c>
      <c r="AB7" s="3">
        <v>3</v>
      </c>
      <c r="AC7" s="3">
        <v>5</v>
      </c>
      <c r="AD7" s="3" t="s">
        <v>35</v>
      </c>
    </row>
    <row r="8" spans="1:30" ht="22.5" customHeight="1" x14ac:dyDescent="0.25">
      <c r="A8" s="2">
        <v>46205.677641111106</v>
      </c>
      <c r="B8" s="3" t="s">
        <v>33</v>
      </c>
      <c r="C8" s="3">
        <v>4</v>
      </c>
      <c r="D8" s="3">
        <v>3</v>
      </c>
      <c r="E8" s="3">
        <v>5</v>
      </c>
      <c r="F8" s="3">
        <v>2</v>
      </c>
      <c r="G8" s="3">
        <v>2</v>
      </c>
      <c r="H8" s="3">
        <v>3</v>
      </c>
      <c r="I8" s="3" t="s">
        <v>32</v>
      </c>
      <c r="J8" s="3">
        <v>4</v>
      </c>
      <c r="K8" s="3">
        <v>3</v>
      </c>
      <c r="L8" s="3">
        <v>4</v>
      </c>
      <c r="M8" s="3">
        <v>5</v>
      </c>
      <c r="N8" s="3">
        <v>5</v>
      </c>
      <c r="O8" s="3">
        <v>4</v>
      </c>
      <c r="P8" s="3" t="s">
        <v>31</v>
      </c>
    </row>
    <row r="9" spans="1:30" ht="22.5" customHeight="1" x14ac:dyDescent="0.25">
      <c r="A9" s="2">
        <v>46205.67949800926</v>
      </c>
      <c r="B9" s="3" t="s">
        <v>33</v>
      </c>
      <c r="C9" s="3">
        <v>4</v>
      </c>
      <c r="D9" s="3">
        <v>3</v>
      </c>
      <c r="E9" s="3">
        <v>4</v>
      </c>
      <c r="F9" s="3">
        <v>5</v>
      </c>
      <c r="G9" s="3">
        <v>4</v>
      </c>
      <c r="H9" s="3">
        <v>4</v>
      </c>
      <c r="I9" s="3" t="s">
        <v>32</v>
      </c>
    </row>
    <row r="10" spans="1:30" ht="22.5" customHeight="1" x14ac:dyDescent="0.25">
      <c r="A10" s="2">
        <v>46205.683938032409</v>
      </c>
      <c r="B10" s="3" t="s">
        <v>33</v>
      </c>
      <c r="C10" s="3">
        <v>5</v>
      </c>
      <c r="D10" s="3">
        <v>5</v>
      </c>
      <c r="E10" s="3">
        <v>5</v>
      </c>
      <c r="F10" s="3">
        <v>4</v>
      </c>
      <c r="G10" s="3">
        <v>5</v>
      </c>
      <c r="H10" s="3">
        <v>5</v>
      </c>
      <c r="I10" s="3" t="s">
        <v>32</v>
      </c>
      <c r="J10" s="3">
        <v>5</v>
      </c>
      <c r="K10" s="3">
        <v>5</v>
      </c>
      <c r="L10" s="3">
        <v>5</v>
      </c>
      <c r="M10" s="3">
        <v>4</v>
      </c>
      <c r="N10" s="3">
        <v>5</v>
      </c>
      <c r="O10" s="3">
        <v>5</v>
      </c>
      <c r="P10" s="3" t="s">
        <v>31</v>
      </c>
    </row>
    <row r="11" spans="1:30" ht="22.5" customHeight="1" x14ac:dyDescent="0.25">
      <c r="A11" s="2">
        <v>46205.685608217595</v>
      </c>
      <c r="B11" s="3" t="s">
        <v>34</v>
      </c>
      <c r="Q11" s="3">
        <v>3</v>
      </c>
      <c r="R11" s="3">
        <v>3</v>
      </c>
      <c r="S11" s="3">
        <v>5</v>
      </c>
      <c r="T11" s="3">
        <v>5</v>
      </c>
      <c r="U11" s="3">
        <v>5</v>
      </c>
      <c r="V11" s="3">
        <v>5</v>
      </c>
      <c r="W11" s="3" t="s">
        <v>32</v>
      </c>
    </row>
    <row r="12" spans="1:30" ht="22.5" customHeight="1" x14ac:dyDescent="0.25">
      <c r="A12" s="2">
        <v>46205.701816851855</v>
      </c>
      <c r="B12" s="3" t="s">
        <v>34</v>
      </c>
      <c r="Q12" s="3">
        <v>3</v>
      </c>
      <c r="R12" s="3">
        <v>3</v>
      </c>
      <c r="S12" s="3">
        <v>4</v>
      </c>
      <c r="T12" s="3">
        <v>4</v>
      </c>
      <c r="U12" s="3">
        <v>4</v>
      </c>
      <c r="V12" s="3">
        <v>5</v>
      </c>
      <c r="W12" s="3" t="s">
        <v>32</v>
      </c>
    </row>
    <row r="13" spans="1:30" ht="22.5" customHeight="1" x14ac:dyDescent="0.25">
      <c r="A13" s="2">
        <v>46205.704720231486</v>
      </c>
      <c r="B13" s="3" t="s">
        <v>30</v>
      </c>
      <c r="C13" s="3">
        <v>3</v>
      </c>
      <c r="D13" s="3">
        <v>5</v>
      </c>
      <c r="E13" s="3">
        <v>4</v>
      </c>
      <c r="F13" s="3">
        <v>4</v>
      </c>
      <c r="G13" s="3">
        <v>4</v>
      </c>
      <c r="H13" s="3">
        <v>5</v>
      </c>
      <c r="I13" s="3" t="s">
        <v>31</v>
      </c>
      <c r="J13" s="3">
        <v>5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 t="s">
        <v>32</v>
      </c>
    </row>
    <row r="14" spans="1:30" ht="22.5" customHeight="1" x14ac:dyDescent="0.25">
      <c r="A14" s="2">
        <v>46205.705725358799</v>
      </c>
      <c r="B14" s="3" t="s">
        <v>30</v>
      </c>
      <c r="C14" s="3">
        <v>2</v>
      </c>
      <c r="D14" s="3">
        <v>3</v>
      </c>
      <c r="E14" s="3">
        <v>5</v>
      </c>
      <c r="F14" s="3">
        <v>5</v>
      </c>
      <c r="G14" s="3">
        <v>4</v>
      </c>
      <c r="H14" s="3">
        <v>3</v>
      </c>
      <c r="I14" s="3" t="s">
        <v>31</v>
      </c>
      <c r="J14" s="3">
        <v>5</v>
      </c>
      <c r="K14" s="3">
        <v>3</v>
      </c>
      <c r="L14" s="3">
        <v>5</v>
      </c>
      <c r="M14" s="3">
        <v>4</v>
      </c>
      <c r="N14" s="3">
        <v>4</v>
      </c>
      <c r="O14" s="3">
        <v>5</v>
      </c>
      <c r="P14" s="3" t="s">
        <v>32</v>
      </c>
    </row>
    <row r="15" spans="1:30" ht="22.5" customHeight="1" x14ac:dyDescent="0.25">
      <c r="A15" s="2">
        <v>46205.749417349536</v>
      </c>
      <c r="B15" s="3" t="s">
        <v>33</v>
      </c>
      <c r="C15" s="3">
        <v>4</v>
      </c>
      <c r="D15" s="3">
        <v>4</v>
      </c>
      <c r="E15" s="3">
        <v>4</v>
      </c>
      <c r="F15" s="3">
        <v>4</v>
      </c>
      <c r="G15" s="3">
        <v>4</v>
      </c>
      <c r="H15" s="3">
        <v>4</v>
      </c>
      <c r="I15" s="3" t="s">
        <v>32</v>
      </c>
      <c r="J15" s="3">
        <v>5</v>
      </c>
      <c r="K15" s="3">
        <v>5</v>
      </c>
      <c r="L15" s="3">
        <v>5</v>
      </c>
      <c r="M15" s="3">
        <v>5</v>
      </c>
      <c r="N15" s="3">
        <v>4</v>
      </c>
      <c r="O15" s="3">
        <v>5</v>
      </c>
      <c r="P15" s="3" t="s">
        <v>31</v>
      </c>
    </row>
    <row r="16" spans="1:30" ht="22.5" customHeight="1" x14ac:dyDescent="0.25">
      <c r="A16" s="2">
        <v>46205.750686840278</v>
      </c>
      <c r="B16" s="3" t="s">
        <v>33</v>
      </c>
      <c r="C16" s="3">
        <v>3</v>
      </c>
      <c r="D16" s="3">
        <v>3</v>
      </c>
      <c r="E16" s="3">
        <v>2</v>
      </c>
      <c r="F16" s="3">
        <v>4</v>
      </c>
      <c r="G16" s="3">
        <v>3</v>
      </c>
      <c r="H16" s="3">
        <v>4</v>
      </c>
      <c r="I16" s="3" t="s">
        <v>32</v>
      </c>
    </row>
    <row r="17" spans="1:30" ht="22.5" customHeight="1" x14ac:dyDescent="0.25">
      <c r="A17" s="2">
        <v>46205.768035162037</v>
      </c>
      <c r="B17" s="3" t="s">
        <v>30</v>
      </c>
      <c r="C17" s="3">
        <v>1</v>
      </c>
      <c r="D17" s="3">
        <v>5</v>
      </c>
      <c r="E17" s="3">
        <v>3</v>
      </c>
      <c r="F17" s="3">
        <v>5</v>
      </c>
      <c r="G17" s="3">
        <v>4</v>
      </c>
      <c r="H17" s="3">
        <v>2</v>
      </c>
      <c r="I17" s="3" t="s">
        <v>31</v>
      </c>
      <c r="J17" s="3">
        <v>2</v>
      </c>
      <c r="K17" s="3">
        <v>5</v>
      </c>
      <c r="L17" s="3">
        <v>4</v>
      </c>
      <c r="M17" s="3">
        <v>5</v>
      </c>
      <c r="N17" s="3">
        <v>5</v>
      </c>
      <c r="O17" s="3">
        <v>5</v>
      </c>
      <c r="P17" s="3" t="s">
        <v>32</v>
      </c>
    </row>
    <row r="18" spans="1:30" ht="22.5" customHeight="1" x14ac:dyDescent="0.25">
      <c r="A18" s="2">
        <v>46205.773342418979</v>
      </c>
      <c r="B18" s="3" t="s">
        <v>36</v>
      </c>
      <c r="C18" s="3">
        <v>3</v>
      </c>
      <c r="D18" s="3">
        <v>3</v>
      </c>
      <c r="E18" s="3">
        <v>3</v>
      </c>
      <c r="F18" s="3">
        <v>3</v>
      </c>
      <c r="G18" s="3">
        <v>4</v>
      </c>
      <c r="H18" s="3">
        <v>4</v>
      </c>
      <c r="I18" s="3" t="s">
        <v>31</v>
      </c>
      <c r="J18" s="3">
        <v>2</v>
      </c>
      <c r="K18" s="3">
        <v>3</v>
      </c>
      <c r="L18" s="3">
        <v>3</v>
      </c>
      <c r="M18" s="3">
        <v>4</v>
      </c>
      <c r="N18" s="3">
        <v>4</v>
      </c>
      <c r="O18" s="3">
        <v>4</v>
      </c>
      <c r="P18" s="3" t="s">
        <v>31</v>
      </c>
      <c r="Q18" s="3">
        <v>2</v>
      </c>
      <c r="R18" s="3">
        <v>3</v>
      </c>
      <c r="S18" s="3">
        <v>4</v>
      </c>
      <c r="T18" s="3">
        <v>4</v>
      </c>
      <c r="U18" s="3">
        <v>4</v>
      </c>
      <c r="V18" s="3">
        <v>4</v>
      </c>
      <c r="W18" s="3" t="s">
        <v>31</v>
      </c>
      <c r="X18" s="3">
        <v>3</v>
      </c>
      <c r="Y18" s="3">
        <v>2</v>
      </c>
      <c r="Z18" s="3">
        <v>1</v>
      </c>
      <c r="AA18" s="3">
        <v>3</v>
      </c>
      <c r="AB18" s="3">
        <v>3</v>
      </c>
      <c r="AC18" s="3">
        <v>4</v>
      </c>
      <c r="AD18" s="3" t="s">
        <v>32</v>
      </c>
    </row>
    <row r="19" spans="1:30" ht="22.5" customHeight="1" x14ac:dyDescent="0.25">
      <c r="A19" s="2">
        <v>46205.789996504631</v>
      </c>
      <c r="B19" s="3" t="s">
        <v>36</v>
      </c>
      <c r="X19" s="3">
        <v>5</v>
      </c>
      <c r="Y19" s="3">
        <v>4</v>
      </c>
      <c r="Z19" s="3">
        <v>4</v>
      </c>
      <c r="AA19" s="3">
        <v>3</v>
      </c>
      <c r="AB19" s="3">
        <v>3</v>
      </c>
      <c r="AC19" s="3">
        <v>5</v>
      </c>
      <c r="AD19" s="3" t="s">
        <v>32</v>
      </c>
    </row>
    <row r="20" spans="1:30" ht="22.5" customHeight="1" x14ac:dyDescent="0.25">
      <c r="A20" s="2">
        <v>46205.791133206018</v>
      </c>
      <c r="B20" s="3" t="s">
        <v>33</v>
      </c>
      <c r="C20" s="3">
        <v>4</v>
      </c>
      <c r="D20" s="3">
        <v>5</v>
      </c>
      <c r="E20" s="3">
        <v>5</v>
      </c>
      <c r="F20" s="3">
        <v>5</v>
      </c>
      <c r="G20" s="3">
        <v>5</v>
      </c>
      <c r="H20" s="3">
        <v>5</v>
      </c>
      <c r="I20" s="3" t="s">
        <v>32</v>
      </c>
    </row>
    <row r="21" spans="1:30" ht="22.5" customHeight="1" x14ac:dyDescent="0.25">
      <c r="A21" s="2">
        <v>46205.815221539349</v>
      </c>
      <c r="B21" s="3" t="s">
        <v>30</v>
      </c>
      <c r="C21" s="3">
        <v>3</v>
      </c>
      <c r="D21" s="3">
        <v>2</v>
      </c>
      <c r="E21" s="3">
        <v>2</v>
      </c>
      <c r="F21" s="3">
        <v>2</v>
      </c>
      <c r="G21" s="3">
        <v>2</v>
      </c>
      <c r="H21" s="3">
        <v>2</v>
      </c>
      <c r="I21" s="3" t="s">
        <v>31</v>
      </c>
      <c r="J21" s="3">
        <v>3</v>
      </c>
      <c r="K21" s="3">
        <v>3</v>
      </c>
      <c r="L21" s="3">
        <v>2</v>
      </c>
      <c r="M21" s="3">
        <v>2</v>
      </c>
      <c r="N21" s="3">
        <v>2</v>
      </c>
      <c r="O21" s="3">
        <v>2</v>
      </c>
      <c r="P21" s="3" t="s">
        <v>32</v>
      </c>
    </row>
    <row r="22" spans="1:30" ht="22.5" customHeight="1" x14ac:dyDescent="0.25">
      <c r="A22" s="2">
        <v>46205.817940370369</v>
      </c>
      <c r="B22" s="3" t="s">
        <v>30</v>
      </c>
      <c r="J22" s="3">
        <v>4</v>
      </c>
      <c r="K22" s="3">
        <v>5</v>
      </c>
      <c r="L22" s="3">
        <v>4</v>
      </c>
      <c r="M22" s="3">
        <v>5</v>
      </c>
      <c r="N22" s="3">
        <v>5</v>
      </c>
      <c r="O22" s="3">
        <v>5</v>
      </c>
      <c r="P22" s="3" t="s">
        <v>32</v>
      </c>
    </row>
    <row r="23" spans="1:30" ht="22.5" customHeight="1" x14ac:dyDescent="0.25">
      <c r="A23" s="2">
        <v>46205.861378009256</v>
      </c>
      <c r="B23" s="3" t="s">
        <v>36</v>
      </c>
      <c r="C23" s="3">
        <v>2</v>
      </c>
      <c r="D23" s="3">
        <v>2</v>
      </c>
      <c r="E23" s="3">
        <v>2</v>
      </c>
      <c r="F23" s="3">
        <v>1</v>
      </c>
      <c r="G23" s="3">
        <v>2</v>
      </c>
      <c r="H23" s="3">
        <v>1</v>
      </c>
      <c r="I23" s="3" t="s">
        <v>31</v>
      </c>
      <c r="J23" s="3">
        <v>2</v>
      </c>
      <c r="K23" s="3">
        <v>1</v>
      </c>
      <c r="L23" s="3">
        <v>2</v>
      </c>
      <c r="M23" s="3">
        <v>2</v>
      </c>
      <c r="N23" s="3">
        <v>2</v>
      </c>
      <c r="O23" s="3">
        <v>2</v>
      </c>
      <c r="P23" s="3" t="s">
        <v>31</v>
      </c>
      <c r="X23" s="3">
        <v>3</v>
      </c>
      <c r="Y23" s="3">
        <v>3</v>
      </c>
      <c r="Z23" s="3">
        <v>1</v>
      </c>
      <c r="AA23" s="3">
        <v>1</v>
      </c>
      <c r="AB23" s="3">
        <v>2</v>
      </c>
      <c r="AC23" s="3">
        <v>5</v>
      </c>
      <c r="AD23" s="3" t="s">
        <v>32</v>
      </c>
    </row>
    <row r="24" spans="1:30" ht="22.5" customHeight="1" x14ac:dyDescent="0.25">
      <c r="A24" s="2">
        <v>46205.986272002316</v>
      </c>
      <c r="B24" s="3" t="s">
        <v>33</v>
      </c>
      <c r="C24" s="3">
        <v>1</v>
      </c>
      <c r="D24" s="3">
        <v>4</v>
      </c>
      <c r="E24" s="3">
        <v>4</v>
      </c>
      <c r="F24" s="3">
        <v>5</v>
      </c>
      <c r="G24" s="3">
        <v>5</v>
      </c>
      <c r="H24" s="3">
        <v>5</v>
      </c>
      <c r="I24" s="3" t="s">
        <v>32</v>
      </c>
    </row>
    <row r="25" spans="1:30" ht="22.5" customHeight="1" x14ac:dyDescent="0.25">
      <c r="A25" s="2">
        <v>46206.013844791669</v>
      </c>
      <c r="B25" s="3" t="s">
        <v>30</v>
      </c>
      <c r="C25" s="3">
        <v>4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3" t="s">
        <v>31</v>
      </c>
      <c r="J25" s="3">
        <v>5</v>
      </c>
      <c r="K25" s="3">
        <v>4</v>
      </c>
      <c r="L25" s="3">
        <v>4</v>
      </c>
      <c r="M25" s="3">
        <v>4</v>
      </c>
      <c r="N25" s="3">
        <v>5</v>
      </c>
      <c r="O25" s="3">
        <v>3</v>
      </c>
      <c r="P25" s="3" t="s">
        <v>32</v>
      </c>
    </row>
    <row r="26" spans="1:30" ht="22.5" customHeight="1" x14ac:dyDescent="0.25">
      <c r="A26" s="2">
        <v>46206.437156122687</v>
      </c>
      <c r="B26" s="3" t="s">
        <v>33</v>
      </c>
      <c r="C26" s="3">
        <v>4</v>
      </c>
      <c r="D26" s="3">
        <v>5</v>
      </c>
      <c r="E26" s="3">
        <v>4</v>
      </c>
      <c r="F26" s="3">
        <v>4</v>
      </c>
      <c r="G26" s="3">
        <v>5</v>
      </c>
      <c r="H26" s="3">
        <v>5</v>
      </c>
      <c r="I26" s="3" t="s">
        <v>32</v>
      </c>
      <c r="J26" s="3">
        <v>3</v>
      </c>
      <c r="K26" s="3">
        <v>4</v>
      </c>
      <c r="L26" s="3">
        <v>4</v>
      </c>
      <c r="M26" s="3">
        <v>4</v>
      </c>
      <c r="N26" s="3">
        <v>4</v>
      </c>
      <c r="O26" s="3">
        <v>4</v>
      </c>
      <c r="P26" s="3" t="s">
        <v>31</v>
      </c>
    </row>
    <row r="27" spans="1:30" ht="22.5" customHeight="1" x14ac:dyDescent="0.25">
      <c r="A27" s="2">
        <v>46206.457596354172</v>
      </c>
      <c r="B27" s="3" t="s">
        <v>30</v>
      </c>
      <c r="C27" s="3">
        <v>4</v>
      </c>
      <c r="D27" s="3">
        <v>4</v>
      </c>
      <c r="E27" s="3">
        <v>3</v>
      </c>
      <c r="F27" s="3">
        <v>3</v>
      </c>
      <c r="G27" s="3">
        <v>3</v>
      </c>
      <c r="H27" s="3">
        <v>4</v>
      </c>
      <c r="I27" s="3" t="s">
        <v>31</v>
      </c>
      <c r="J27" s="3">
        <v>5</v>
      </c>
      <c r="K27" s="3">
        <v>3</v>
      </c>
      <c r="L27" s="3">
        <v>4</v>
      </c>
      <c r="M27" s="3">
        <v>3</v>
      </c>
      <c r="N27" s="3">
        <v>3</v>
      </c>
      <c r="O27" s="3">
        <v>4</v>
      </c>
      <c r="P27" s="3" t="s">
        <v>32</v>
      </c>
    </row>
    <row r="28" spans="1:30" ht="22.5" customHeight="1" x14ac:dyDescent="0.25">
      <c r="A28" s="2">
        <v>46206.518289409723</v>
      </c>
      <c r="B28" s="3" t="s">
        <v>36</v>
      </c>
      <c r="C28" s="3">
        <v>4</v>
      </c>
      <c r="D28" s="3">
        <v>5</v>
      </c>
      <c r="E28" s="3">
        <v>5</v>
      </c>
      <c r="F28" s="3">
        <v>5</v>
      </c>
      <c r="G28" s="3">
        <v>4</v>
      </c>
      <c r="H28" s="3">
        <v>5</v>
      </c>
      <c r="I28" s="3" t="s">
        <v>31</v>
      </c>
      <c r="X28" s="3">
        <v>4</v>
      </c>
      <c r="Y28" s="3">
        <v>4</v>
      </c>
      <c r="Z28" s="3">
        <v>4</v>
      </c>
      <c r="AA28" s="3">
        <v>5</v>
      </c>
      <c r="AB28" s="3">
        <v>5</v>
      </c>
      <c r="AC28" s="3">
        <v>5</v>
      </c>
      <c r="AD28" s="3" t="s">
        <v>32</v>
      </c>
    </row>
    <row r="29" spans="1:30" ht="22.5" customHeight="1" x14ac:dyDescent="0.25">
      <c r="A29" s="2">
        <v>46206.518561423611</v>
      </c>
      <c r="B29" s="3" t="s">
        <v>34</v>
      </c>
      <c r="Q29" s="3">
        <v>5</v>
      </c>
      <c r="R29" s="3">
        <v>4</v>
      </c>
      <c r="S29" s="3">
        <v>5</v>
      </c>
      <c r="T29" s="3">
        <v>5</v>
      </c>
      <c r="U29" s="3">
        <v>5</v>
      </c>
      <c r="V29" s="3">
        <v>5</v>
      </c>
      <c r="W29" s="3" t="s">
        <v>32</v>
      </c>
    </row>
    <row r="30" spans="1:30" ht="22.5" customHeight="1" x14ac:dyDescent="0.25">
      <c r="A30" s="2">
        <v>46206.519258518514</v>
      </c>
      <c r="B30" s="3" t="s">
        <v>36</v>
      </c>
      <c r="X30" s="3">
        <v>4</v>
      </c>
      <c r="Y30" s="3">
        <v>3</v>
      </c>
      <c r="Z30" s="3">
        <v>2</v>
      </c>
      <c r="AA30" s="3">
        <v>2</v>
      </c>
      <c r="AB30" s="3">
        <v>3</v>
      </c>
      <c r="AC30" s="3">
        <v>4</v>
      </c>
      <c r="AD30" s="3" t="s">
        <v>32</v>
      </c>
    </row>
    <row r="31" spans="1:30" ht="22.5" customHeight="1" x14ac:dyDescent="0.25">
      <c r="A31" s="2">
        <v>46206.533037743051</v>
      </c>
      <c r="B31" s="3" t="s">
        <v>30</v>
      </c>
      <c r="J31" s="3">
        <v>5</v>
      </c>
      <c r="K31" s="3">
        <v>5</v>
      </c>
      <c r="L31" s="3">
        <v>5</v>
      </c>
      <c r="M31" s="3">
        <v>4</v>
      </c>
      <c r="N31" s="3">
        <v>4</v>
      </c>
      <c r="O31" s="3">
        <v>5</v>
      </c>
      <c r="P31" s="3" t="s">
        <v>32</v>
      </c>
      <c r="Q31" s="3">
        <v>3</v>
      </c>
      <c r="R31" s="3">
        <v>3</v>
      </c>
      <c r="S31" s="3">
        <v>4</v>
      </c>
      <c r="T31" s="3">
        <v>5</v>
      </c>
      <c r="U31" s="3">
        <v>4</v>
      </c>
      <c r="V31" s="3">
        <v>4</v>
      </c>
      <c r="W31" s="3" t="s">
        <v>31</v>
      </c>
      <c r="X31" s="3">
        <v>5</v>
      </c>
      <c r="Y31" s="3">
        <v>5</v>
      </c>
      <c r="Z31" s="3">
        <v>3</v>
      </c>
      <c r="AA31" s="3">
        <v>2</v>
      </c>
      <c r="AB31" s="3">
        <v>4</v>
      </c>
      <c r="AC31" s="3">
        <v>5</v>
      </c>
      <c r="AD31" s="3" t="s">
        <v>35</v>
      </c>
    </row>
    <row r="32" spans="1:30" ht="22.5" customHeight="1" x14ac:dyDescent="0.25">
      <c r="A32" s="2">
        <v>46206.540622256944</v>
      </c>
      <c r="B32" s="3" t="s">
        <v>30</v>
      </c>
      <c r="J32" s="3">
        <v>1</v>
      </c>
      <c r="K32" s="3">
        <v>2</v>
      </c>
      <c r="L32" s="3">
        <v>1</v>
      </c>
      <c r="M32" s="3">
        <v>1</v>
      </c>
      <c r="N32" s="3">
        <v>1</v>
      </c>
      <c r="O32" s="3">
        <v>1</v>
      </c>
      <c r="P32" s="3" t="s">
        <v>32</v>
      </c>
    </row>
    <row r="33" spans="1:30" ht="22.5" customHeight="1" x14ac:dyDescent="0.25">
      <c r="A33" s="2">
        <v>46206.546113344906</v>
      </c>
      <c r="B33" s="3" t="s">
        <v>36</v>
      </c>
      <c r="X33" s="3">
        <v>4</v>
      </c>
      <c r="Y33" s="3">
        <v>4</v>
      </c>
      <c r="Z33" s="3">
        <v>2</v>
      </c>
      <c r="AA33" s="3">
        <v>3</v>
      </c>
      <c r="AB33" s="3">
        <v>5</v>
      </c>
      <c r="AC33" s="3">
        <v>4</v>
      </c>
      <c r="AD33" s="3" t="s">
        <v>32</v>
      </c>
    </row>
    <row r="34" spans="1:30" ht="22.5" customHeight="1" x14ac:dyDescent="0.25">
      <c r="A34" s="2">
        <v>46206.568070266207</v>
      </c>
      <c r="B34" s="3" t="s">
        <v>33</v>
      </c>
      <c r="C34" s="3">
        <v>4</v>
      </c>
      <c r="D34" s="3">
        <v>3</v>
      </c>
      <c r="E34" s="3">
        <v>2</v>
      </c>
      <c r="F34" s="3">
        <v>2</v>
      </c>
      <c r="G34" s="3">
        <v>1</v>
      </c>
      <c r="H34" s="3">
        <v>3</v>
      </c>
      <c r="I34" s="3" t="s">
        <v>32</v>
      </c>
    </row>
    <row r="35" spans="1:30" ht="22.5" customHeight="1" x14ac:dyDescent="0.25">
      <c r="A35" s="2">
        <v>46206.573249293986</v>
      </c>
      <c r="B35" s="3" t="s">
        <v>36</v>
      </c>
      <c r="X35" s="3">
        <v>5</v>
      </c>
      <c r="Y35" s="3">
        <v>4</v>
      </c>
      <c r="Z35" s="3">
        <v>4</v>
      </c>
      <c r="AA35" s="3">
        <v>4</v>
      </c>
      <c r="AB35" s="3">
        <v>5</v>
      </c>
      <c r="AD35" s="3" t="s">
        <v>32</v>
      </c>
    </row>
    <row r="36" spans="1:30" ht="22.5" customHeight="1" x14ac:dyDescent="0.25">
      <c r="A36" s="2">
        <v>46206.841177650465</v>
      </c>
      <c r="B36" s="3" t="s">
        <v>34</v>
      </c>
      <c r="C36" s="3">
        <v>2</v>
      </c>
      <c r="D36" s="3">
        <v>2</v>
      </c>
      <c r="E36" s="3">
        <v>3</v>
      </c>
      <c r="F36" s="3">
        <v>3</v>
      </c>
      <c r="G36" s="3">
        <v>3</v>
      </c>
      <c r="H36" s="3">
        <v>4</v>
      </c>
      <c r="I36" s="3" t="s">
        <v>31</v>
      </c>
      <c r="J36" s="3">
        <v>4</v>
      </c>
      <c r="K36" s="3">
        <v>2</v>
      </c>
      <c r="L36" s="3">
        <v>3</v>
      </c>
      <c r="M36" s="3">
        <v>2</v>
      </c>
      <c r="N36" s="3">
        <v>2</v>
      </c>
      <c r="O36" s="3">
        <v>3</v>
      </c>
      <c r="P36" s="3" t="s">
        <v>31</v>
      </c>
      <c r="Q36" s="3">
        <v>1</v>
      </c>
      <c r="R36" s="3">
        <v>1</v>
      </c>
      <c r="S36" s="3">
        <v>2</v>
      </c>
      <c r="T36" s="3">
        <v>3</v>
      </c>
      <c r="U36" s="3">
        <v>4</v>
      </c>
      <c r="V36" s="3">
        <v>3</v>
      </c>
      <c r="W36" s="3" t="s">
        <v>32</v>
      </c>
    </row>
    <row r="37" spans="1:30" ht="22.5" customHeight="1" x14ac:dyDescent="0.25">
      <c r="A37" s="2">
        <v>46206.886448287041</v>
      </c>
      <c r="B37" s="3" t="s">
        <v>33</v>
      </c>
      <c r="C37" s="3">
        <v>3</v>
      </c>
      <c r="D37" s="3">
        <v>3</v>
      </c>
      <c r="E37" s="3">
        <v>3</v>
      </c>
      <c r="F37" s="3">
        <v>3</v>
      </c>
      <c r="G37" s="3">
        <v>3</v>
      </c>
      <c r="H37" s="3">
        <v>4</v>
      </c>
      <c r="I37" s="3" t="s">
        <v>32</v>
      </c>
      <c r="X37" s="3">
        <v>3</v>
      </c>
      <c r="Y37" s="3">
        <v>2</v>
      </c>
      <c r="Z37" s="3">
        <v>2</v>
      </c>
      <c r="AA37" s="3">
        <v>4</v>
      </c>
      <c r="AB37" s="3">
        <v>5</v>
      </c>
      <c r="AC37" s="3">
        <v>5</v>
      </c>
      <c r="AD37" s="3" t="s">
        <v>35</v>
      </c>
    </row>
    <row r="38" spans="1:30" ht="22.5" customHeight="1" x14ac:dyDescent="0.25">
      <c r="A38" s="2">
        <v>46206.938334351857</v>
      </c>
      <c r="B38" s="3" t="s">
        <v>36</v>
      </c>
      <c r="X38" s="3">
        <v>5</v>
      </c>
      <c r="Y38" s="3">
        <v>3</v>
      </c>
      <c r="Z38" s="3">
        <v>1</v>
      </c>
      <c r="AA38" s="3">
        <v>1</v>
      </c>
      <c r="AB38" s="3">
        <v>4</v>
      </c>
      <c r="AC38" s="3">
        <v>2</v>
      </c>
      <c r="AD38" s="3" t="s">
        <v>32</v>
      </c>
    </row>
    <row r="39" spans="1:30" ht="22.5" customHeight="1" x14ac:dyDescent="0.25">
      <c r="A39" s="2">
        <v>46207.989451805552</v>
      </c>
      <c r="B39" s="3" t="s">
        <v>33</v>
      </c>
      <c r="C39" s="3">
        <v>5</v>
      </c>
      <c r="D39" s="3">
        <v>4</v>
      </c>
      <c r="E39" s="3">
        <v>4</v>
      </c>
      <c r="F39" s="3">
        <v>3</v>
      </c>
      <c r="G39" s="3">
        <v>5</v>
      </c>
      <c r="H39" s="3">
        <v>3</v>
      </c>
      <c r="I39" s="3" t="s">
        <v>32</v>
      </c>
    </row>
    <row r="40" spans="1:30" ht="22.5" customHeight="1" x14ac:dyDescent="0.25">
      <c r="A40" s="2">
        <v>46212.425269803236</v>
      </c>
      <c r="B40" s="3" t="s">
        <v>33</v>
      </c>
      <c r="C40" s="3">
        <v>4</v>
      </c>
      <c r="D40" s="3">
        <v>5</v>
      </c>
      <c r="E40" s="3">
        <v>5</v>
      </c>
      <c r="F40" s="3">
        <v>4</v>
      </c>
      <c r="G40" s="3">
        <v>5</v>
      </c>
      <c r="H40" s="3">
        <v>5</v>
      </c>
      <c r="I40" s="3" t="s">
        <v>32</v>
      </c>
    </row>
    <row r="41" spans="1:30" ht="22.5" customHeight="1" x14ac:dyDescent="0.25">
      <c r="A41" s="3" t="s">
        <v>37</v>
      </c>
      <c r="B41" s="3"/>
      <c r="C41" s="3">
        <f>SUBTOTAL(101,Form_Responses[Audio 1:
click here to listen])</f>
        <v>3.3333333333333335</v>
      </c>
      <c r="D41" s="3">
        <f>SUBTOTAL(101,Form_Responses[Audio 2:
click here to listen])</f>
        <v>3.7037037037037037</v>
      </c>
      <c r="E41" s="3">
        <f>SUBTOTAL(101,Form_Responses[Audio 3:
click here to listen])</f>
        <v>3.6666666666666665</v>
      </c>
      <c r="F41" s="3">
        <f>SUBTOTAL(101,Form_Responses[Audio 4:
click here to listen])</f>
        <v>3.6296296296296298</v>
      </c>
      <c r="G41" s="3">
        <f>SUBTOTAL(101,Form_Responses[Audio 5:
click here to listen])</f>
        <v>3.7037037037037037</v>
      </c>
      <c r="H41" s="3">
        <f>SUBTOTAL(101,Form_Responses[Audio 6:
click here to listen])</f>
        <v>3.8148148148148149</v>
      </c>
      <c r="I41" s="3"/>
      <c r="J41" s="3">
        <f>SUBTOTAL(101,Form_Responses[Audio 1: 
click here to listen])</f>
        <v>3.8888888888888888</v>
      </c>
      <c r="K41" s="3">
        <f>SUBTOTAL(101,Form_Responses[Audio 2: 
 click here to listen])</f>
        <v>3.6666666666666665</v>
      </c>
      <c r="L41" s="3">
        <f>SUBTOTAL(101,Form_Responses[Audio 3: 
 click here to listen])</f>
        <v>3.7222222222222223</v>
      </c>
      <c r="M41" s="3">
        <f>SUBTOTAL(101,Form_Responses[Audio 4: 
click here to listen
])</f>
        <v>3.7777777777777777</v>
      </c>
      <c r="N41" s="3">
        <f>SUBTOTAL(101,Form_Responses[Audio 5: 
click here to listen])</f>
        <v>3.8333333333333335</v>
      </c>
      <c r="O41" s="3">
        <f>SUBTOTAL(101,Form_Responses[Audio 6: 
click here to listen])</f>
        <v>4</v>
      </c>
      <c r="P41" s="3"/>
      <c r="Q41" s="3">
        <f>SUBTOTAL(101,Form_Responses[Audio 1:
click here to listen 2])</f>
        <v>2.7142857142857144</v>
      </c>
      <c r="R41" s="3">
        <f>SUBTOTAL(101,Form_Responses[Audio 2:
click here to listen 2])</f>
        <v>2.7142857142857144</v>
      </c>
      <c r="S41" s="3">
        <f>SUBTOTAL(101,Form_Responses[Audio 3:
click here to listen 2])</f>
        <v>3.7142857142857144</v>
      </c>
      <c r="T41" s="3">
        <f>SUBTOTAL(101,Form_Responses[Audio 4:
click here to listen 2])</f>
        <v>4</v>
      </c>
      <c r="U41" s="3">
        <f>SUBTOTAL(101,Form_Responses[Audio 5:
click here to listen 2])</f>
        <v>4.1428571428571432</v>
      </c>
      <c r="V41" s="3">
        <f>SUBTOTAL(101,Form_Responses[Audio 6:
click here to listen 2])</f>
        <v>4.1428571428571432</v>
      </c>
      <c r="W41" s="3"/>
      <c r="X41" s="3">
        <f>SUBTOTAL(101,Form_Responses[Audio 1:
click here to listen 3])</f>
        <v>4.0909090909090908</v>
      </c>
      <c r="Y41" s="3">
        <f>SUBTOTAL(101,Form_Responses[Audio 2:
click here to listen 3])</f>
        <v>3.3636363636363638</v>
      </c>
      <c r="Z41" s="3">
        <f>SUBTOTAL(101,Form_Responses[Audio 3:
click here to listen 3])</f>
        <v>2.3636363636363638</v>
      </c>
      <c r="AA41" s="3">
        <f>SUBTOTAL(101,Form_Responses[Audio 4:
click here to listen 3])</f>
        <v>2.7272727272727271</v>
      </c>
      <c r="AB41" s="3">
        <f>SUBTOTAL(101,Form_Responses[Audio 5:
click here to listen 3])</f>
        <v>3.8181818181818183</v>
      </c>
      <c r="AC41" s="3">
        <f>SUBTOTAL(101,Form_Responses[Audio 6:
click here to listen 3])</f>
        <v>4.4000000000000004</v>
      </c>
      <c r="AD41" s="3"/>
    </row>
    <row r="42" spans="1:30" ht="12.5" x14ac:dyDescent="0.25">
      <c r="A42" t="s">
        <v>38</v>
      </c>
      <c r="C42" s="4">
        <v>2.8595000000000002</v>
      </c>
      <c r="D42" s="4">
        <v>3.1131000000000002</v>
      </c>
      <c r="E42" s="4">
        <v>3.5150999999999999</v>
      </c>
      <c r="F42" s="4">
        <v>4.0199999999999996</v>
      </c>
      <c r="G42" s="4">
        <v>4.5079000000000002</v>
      </c>
      <c r="H42" s="4">
        <v>5</v>
      </c>
      <c r="J42" s="4">
        <v>1.8346</v>
      </c>
      <c r="K42" s="4">
        <v>3.02</v>
      </c>
      <c r="L42" s="4">
        <v>5</v>
      </c>
      <c r="M42" s="4">
        <v>3.5245000000000002</v>
      </c>
      <c r="N42" s="4">
        <v>4.4996</v>
      </c>
      <c r="O42" s="4">
        <v>4.0224000000000002</v>
      </c>
      <c r="Q42" s="4">
        <v>3.5091999999999999</v>
      </c>
      <c r="R42" s="4">
        <v>2.6833999999999998</v>
      </c>
      <c r="S42" s="4">
        <v>2.9630999999999998</v>
      </c>
      <c r="T42" s="4">
        <v>4.4949000000000003</v>
      </c>
      <c r="U42" s="4">
        <v>4.0160999999999998</v>
      </c>
      <c r="V42" s="4">
        <v>4.8578999999999999</v>
      </c>
      <c r="W42" s="4"/>
      <c r="X42" s="4">
        <v>5</v>
      </c>
      <c r="Y42" s="4">
        <v>3.8441999999999998</v>
      </c>
      <c r="Z42" s="4">
        <v>3.0087999999999999</v>
      </c>
      <c r="AA42" s="4">
        <v>4.0149999999999997</v>
      </c>
      <c r="AB42" s="4">
        <v>2.6419999999999999</v>
      </c>
      <c r="AC42" s="4">
        <v>3.6551999999999998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Yadav</cp:lastModifiedBy>
  <dcterms:modified xsi:type="dcterms:W3CDTF">2026-07-09T17:20:07Z</dcterms:modified>
</cp:coreProperties>
</file>